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Board" sheetId="1" r:id="rId5"/>
    <sheet state="visible" name="dont touch this is version cont" sheetId="2" r:id="rId6"/>
    <sheet state="visible" name="Member Directory" sheetId="3" r:id="rId7"/>
  </sheets>
  <definedNames/>
  <calcPr/>
</workbook>
</file>

<file path=xl/sharedStrings.xml><?xml version="1.0" encoding="utf-8"?>
<sst xmlns="http://schemas.openxmlformats.org/spreadsheetml/2006/main" count="264" uniqueCount="66">
  <si>
    <t>eduLLM Team Board</t>
  </si>
  <si>
    <t>Architecture and hypothesis assignments • Edit assignments in Member Directory</t>
  </si>
  <si>
    <t>Team Lead</t>
  </si>
  <si>
    <t>Multiple Teams ⚠️</t>
  </si>
  <si>
    <t>Member</t>
  </si>
  <si>
    <t>Architecture Teams</t>
  </si>
  <si>
    <t>Dataset</t>
  </si>
  <si>
    <t>Model Architecture</t>
  </si>
  <si>
    <t>Pre-Training</t>
  </si>
  <si>
    <t>Post-Training</t>
  </si>
  <si>
    <t>eduLLM Member Directory</t>
  </si>
  <si>
    <t>Evaluation</t>
  </si>
  <si>
    <t>Inference / Product</t>
  </si>
  <si>
    <t>Infrastructure</t>
  </si>
  <si>
    <t>Hypothesis Team</t>
  </si>
  <si>
    <t>Architecture Team</t>
  </si>
  <si>
    <t>Role</t>
  </si>
  <si>
    <t>Adam Banks</t>
  </si>
  <si>
    <t>P4: Validating Learning Sci.</t>
  </si>
  <si>
    <t>Eric Wu</t>
  </si>
  <si>
    <t>Vishnu Sharma</t>
  </si>
  <si>
    <t>Langming (Meric) Xing</t>
  </si>
  <si>
    <t>Arhant Choudhary</t>
  </si>
  <si>
    <t/>
  </si>
  <si>
    <t>Grant Matherne</t>
  </si>
  <si>
    <t>Frank Gonzalez</t>
  </si>
  <si>
    <t>Amy Lin</t>
  </si>
  <si>
    <t>Hiya Vyas</t>
  </si>
  <si>
    <t>Cathy Du</t>
  </si>
  <si>
    <t>Siddhartha Venkatayogi</t>
  </si>
  <si>
    <t>Adarsh Rajesh</t>
  </si>
  <si>
    <t>Nathan Zhao</t>
  </si>
  <si>
    <t>P3: Memory Model</t>
  </si>
  <si>
    <t>Andrew Xia</t>
  </si>
  <si>
    <t>Eric Ni</t>
  </si>
  <si>
    <t>Isabella Chen</t>
  </si>
  <si>
    <t>Eve Feng</t>
  </si>
  <si>
    <t>Tom Liu</t>
  </si>
  <si>
    <t>Anshul Mago</t>
  </si>
  <si>
    <t>Katie He</t>
  </si>
  <si>
    <t>Lawrence Dong</t>
  </si>
  <si>
    <t>Pre-Training, Model Architecture</t>
  </si>
  <si>
    <t>Arthur Xu</t>
  </si>
  <si>
    <t>Sameer Agarwal</t>
  </si>
  <si>
    <t>Sophia Zhang</t>
  </si>
  <si>
    <t>Aryan Verma</t>
  </si>
  <si>
    <t>Tejasvi Tyagi</t>
  </si>
  <si>
    <t>Avaneesh Ramesh</t>
  </si>
  <si>
    <t>William Wang</t>
  </si>
  <si>
    <t>Claire Mao</t>
  </si>
  <si>
    <t>Ellie Zhang</t>
  </si>
  <si>
    <t>P2: Phonic Tokenizer</t>
  </si>
  <si>
    <t>Iris Cai</t>
  </si>
  <si>
    <t>Stephen Zhang</t>
  </si>
  <si>
    <t>P5: Pedagogy Benchmark</t>
  </si>
  <si>
    <t>Preston Loats</t>
  </si>
  <si>
    <t>Ryan Deelstra</t>
  </si>
  <si>
    <t>P1: Data Corpus</t>
  </si>
  <si>
    <t>Hypothesis Teams</t>
  </si>
  <si>
    <t>P7: RL Tutor</t>
  </si>
  <si>
    <t>Dataset, Pre-Training</t>
  </si>
  <si>
    <t>P3: Memory Model, P4: Validating Learning Sci.</t>
  </si>
  <si>
    <t>Dataset,Pre-Training</t>
  </si>
  <si>
    <t>Inference / Product, Post-Training</t>
  </si>
  <si>
    <t>Model Architecture, Pre-Training</t>
  </si>
  <si>
    <t>YuenKai Chow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</si>
</sst>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rgb="FFFFFFFF"/>
      <name val="Arial"/>
    </font>
    <font>
      <color theme="1"/>
      <name val="Arial"/>
      <scheme val="minor"/>
    </font>
    <font>
      <i/>
      <sz val="10.0"/>
      <color rgb="FFFFFFFF"/>
      <name val="Arial"/>
    </font>
    <font>
      <b/>
      <sz val="10.0"/>
      <color rgb="FF24272B"/>
      <name val="Arial"/>
    </font>
    <font/>
    <font>
      <b/>
      <sz val="13.0"/>
      <color rgb="FF24272B"/>
      <name val="Arial"/>
    </font>
    <font>
      <b/>
      <sz val="10.0"/>
      <color theme="1"/>
      <name val="Arial"/>
    </font>
    <font>
      <sz val="10.0"/>
      <color rgb="FF24272B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6E9A"/>
        <bgColor rgb="FF5B6E9A"/>
      </patternFill>
    </fill>
    <fill>
      <patternFill patternType="solid">
        <fgColor rgb="FFFCE6DE"/>
        <bgColor rgb="FFFCE6DE"/>
      </patternFill>
    </fill>
    <fill>
      <patternFill patternType="solid">
        <fgColor rgb="FFFFEB9D"/>
        <bgColor rgb="FFFFEB9D"/>
      </patternFill>
    </fill>
    <fill>
      <patternFill patternType="solid">
        <fgColor rgb="FFFFFFFF"/>
        <bgColor rgb="FFFFFFFF"/>
      </patternFill>
    </fill>
    <fill>
      <patternFill patternType="solid">
        <fgColor rgb="FFA9C6E8"/>
        <bgColor rgb="FFA9C6E8"/>
      </patternFill>
    </fill>
    <fill>
      <patternFill patternType="solid">
        <fgColor rgb="FFC5DAEF"/>
        <bgColor rgb="FFC5DAEF"/>
      </patternFill>
    </fill>
    <fill>
      <patternFill patternType="solid">
        <fgColor rgb="FFC4AEDC"/>
        <bgColor rgb="FFC4AEDC"/>
      </patternFill>
    </fill>
    <fill>
      <patternFill patternType="solid">
        <fgColor rgb="FFF0EBF7"/>
        <bgColor rgb="FFF0EBF7"/>
      </patternFill>
    </fill>
  </fills>
  <borders count="4">
    <border/>
    <border>
      <left style="thin">
        <color rgb="FFD7DCE2"/>
      </left>
      <top style="thin">
        <color rgb="FFD7DCE2"/>
      </top>
      <bottom style="thin">
        <color rgb="FFD7DCE2"/>
      </bottom>
    </border>
    <border>
      <right style="thin">
        <color rgb="FFD7DCE2"/>
      </right>
      <top style="thin">
        <color rgb="FFD7DCE2"/>
      </top>
      <bottom style="thin">
        <color rgb="FFD7DCE2"/>
      </bottom>
    </border>
    <border>
      <left style="thin">
        <color rgb="FFD7DCE2"/>
      </left>
      <right style="thin">
        <color rgb="FFD7DCE2"/>
      </right>
      <top style="thin">
        <color rgb="FFD7DCE2"/>
      </top>
      <bottom style="thin">
        <color rgb="FFD7DCE2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1" fillId="4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3" fillId="7" fontId="4" numFmtId="0" xfId="0" applyAlignment="1" applyBorder="1" applyFill="1" applyFont="1">
      <alignment horizontal="center" readingOrder="0" shrinkToFit="0" vertical="center" wrapText="1"/>
    </xf>
    <xf borderId="3" fillId="7" fontId="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3" fillId="5" fontId="8" numFmtId="49" xfId="0" applyAlignment="1" applyBorder="1" applyFont="1" applyNumberFormat="1">
      <alignment readingOrder="0" shrinkToFit="0" vertical="center" wrapText="1"/>
    </xf>
    <xf borderId="3" fillId="5" fontId="8" numFmtId="0" xfId="0" applyAlignment="1" applyBorder="1" applyFont="1">
      <alignment readingOrder="0" shrinkToFit="0" vertical="center" wrapText="1"/>
    </xf>
    <xf borderId="3" fillId="5" fontId="8" numFmtId="0" xfId="0" applyAlignment="1" applyBorder="1" applyFont="1">
      <alignment horizontal="left" shrinkToFit="0" vertical="center" wrapText="1"/>
    </xf>
    <xf borderId="3" fillId="5" fontId="8" numFmtId="0" xfId="0" applyAlignment="1" applyBorder="1" applyFont="1">
      <alignment shrinkToFit="0" vertical="center" wrapText="1"/>
    </xf>
    <xf borderId="0" fillId="5" fontId="2" numFmtId="0" xfId="0" applyAlignment="1" applyFont="1">
      <alignment shrinkToFit="0" wrapText="1"/>
    </xf>
    <xf borderId="0" fillId="0" fontId="2" numFmtId="0" xfId="0" applyFont="1"/>
    <xf borderId="3" fillId="5" fontId="8" numFmtId="0" xfId="0" applyAlignment="1" applyBorder="1" applyFont="1">
      <alignment horizontal="left" readingOrder="0" shrinkToFit="0" vertical="center" wrapText="1"/>
    </xf>
    <xf borderId="3" fillId="4" fontId="8" numFmtId="0" xfId="0" applyAlignment="1" applyBorder="1" applyFont="1">
      <alignment horizontal="left" readingOrder="0" shrinkToFit="0" vertical="center" wrapText="1"/>
    </xf>
    <xf borderId="3" fillId="4" fontId="8" numFmtId="0" xfId="0" applyAlignment="1" applyBorder="1" applyFont="1">
      <alignment horizontal="left" shrinkToFit="0" vertical="center" wrapText="1"/>
    </xf>
    <xf borderId="0" fillId="5" fontId="2" numFmtId="0" xfId="0" applyAlignment="1" applyFont="1">
      <alignment readingOrder="0" shrinkToFit="0" wrapText="1"/>
    </xf>
    <xf borderId="0" fillId="8" fontId="6" numFmtId="0" xfId="0" applyAlignment="1" applyFill="1" applyFont="1">
      <alignment horizontal="center" readingOrder="0" shrinkToFit="0" vertical="center" wrapText="1"/>
    </xf>
    <xf borderId="3" fillId="9" fontId="4" numFmtId="0" xfId="0" applyAlignment="1" applyBorder="1" applyFill="1" applyFont="1">
      <alignment horizontal="center" shrinkToFit="0" vertical="center" wrapText="1"/>
    </xf>
    <xf borderId="3" fillId="5" fontId="8" numFmtId="0" xfId="0" applyAlignment="1" applyBorder="1" applyFont="1">
      <alignment readingOrder="0" shrinkToFit="0" vertical="center" wrapText="1"/>
    </xf>
    <xf borderId="3" fillId="5" fontId="2" numFmtId="49" xfId="0" applyAlignment="1" applyBorder="1" applyFont="1" applyNumberFormat="1">
      <alignment readingOrder="0" shrinkToFit="0" vertical="center" wrapText="1"/>
    </xf>
    <xf borderId="3" fillId="5" fontId="2" numFmtId="0" xfId="0" applyAlignment="1" applyBorder="1" applyFont="1">
      <alignment readingOrder="0" shrinkToFit="0" vertical="center" wrapText="1"/>
    </xf>
    <xf borderId="3" fillId="5" fontId="8" numFmtId="0" xfId="0" applyAlignment="1" applyBorder="1" applyFont="1">
      <alignment readingOrder="0" shrinkToFit="0" vertical="center" wrapText="1"/>
    </xf>
    <xf borderId="0" fillId="5" fontId="2" numFmtId="49" xfId="0" applyAlignment="1" applyFont="1" applyNumberFormat="1">
      <alignment readingOrder="0"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5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70779C"/>
          <bgColor rgb="FF7077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0779C"/>
        </left>
        <right style="thin">
          <color rgb="FF70779C"/>
        </right>
        <top style="thin">
          <color rgb="FF70779C"/>
        </top>
        <bottom style="thin">
          <color rgb="FF70779C"/>
        </bottom>
      </border>
    </dxf>
    <dxf>
      <font>
        <b/>
      </font>
      <fill>
        <patternFill patternType="solid">
          <fgColor rgb="FFFCE6DE"/>
          <bgColor rgb="FFFCE6DE"/>
        </patternFill>
      </fill>
      <border/>
    </dxf>
    <dxf>
      <font/>
      <fill>
        <patternFill patternType="solid">
          <fgColor rgb="FFFFEB9D"/>
          <bgColor rgb="FFFFEB9D"/>
        </patternFill>
      </fill>
      <border/>
    </dxf>
    <dxf>
      <font/>
      <fill>
        <patternFill patternType="solid">
          <fgColor rgb="FFD9EAD2"/>
          <bgColor rgb="FFD9EAD2"/>
        </patternFill>
      </fill>
      <border/>
    </dxf>
  </dxfs>
  <tableStyles count="1">
    <tableStyle count="4" pivot="0" name="Member Direc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36" displayName="Table" name="Table" id="1">
  <tableColumns count="4">
    <tableColumn name="Member" id="1"/>
    <tableColumn name="Hypothesis Team" id="2"/>
    <tableColumn name="Architecture Team" id="3"/>
    <tableColumn name="Role" id="4"/>
  </tableColumns>
  <tableStyleInfo name="Member Direc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6" width="23.88"/>
    <col customWidth="1" min="7" max="7" width="19.5"/>
  </cols>
  <sheetData>
    <row r="1" ht="25.5" customHeight="1">
      <c r="A1" s="1" t="s">
        <v>0</v>
      </c>
      <c r="G1" s="2"/>
      <c r="H1" s="2"/>
      <c r="I1" s="2"/>
      <c r="J1" s="2"/>
    </row>
    <row r="2" ht="25.5" customHeight="1">
      <c r="G2" s="2"/>
      <c r="H2" s="2"/>
      <c r="I2" s="2"/>
      <c r="J2" s="2"/>
    </row>
    <row r="3">
      <c r="A3" s="3" t="s">
        <v>1</v>
      </c>
      <c r="G3" s="2"/>
      <c r="H3" s="2"/>
      <c r="I3" s="2"/>
      <c r="J3" s="2"/>
    </row>
    <row r="4" ht="19.5" customHeight="1">
      <c r="A4" s="4" t="s">
        <v>2</v>
      </c>
      <c r="B4" s="5"/>
      <c r="C4" s="6" t="s">
        <v>3</v>
      </c>
      <c r="D4" s="5"/>
      <c r="E4" s="7" t="s">
        <v>4</v>
      </c>
      <c r="F4" s="5"/>
      <c r="G4" s="2"/>
      <c r="H4" s="2"/>
      <c r="I4" s="2"/>
      <c r="J4" s="2"/>
    </row>
    <row r="5" ht="28.5" customHeight="1">
      <c r="A5" s="8" t="s">
        <v>5</v>
      </c>
      <c r="G5" s="2"/>
      <c r="H5" s="2"/>
      <c r="I5" s="2"/>
      <c r="J5" s="2"/>
    </row>
    <row r="6" ht="22.5" customHeight="1">
      <c r="A6" s="9" t="s">
        <v>6</v>
      </c>
      <c r="B6" s="9" t="s">
        <v>7</v>
      </c>
      <c r="C6" s="10" t="s">
        <v>8</v>
      </c>
      <c r="D6" s="10" t="s">
        <v>9</v>
      </c>
      <c r="E6" s="9" t="s">
        <v>11</v>
      </c>
      <c r="F6" s="9" t="s">
        <v>12</v>
      </c>
      <c r="G6" s="10" t="s">
        <v>13</v>
      </c>
      <c r="H6" s="2"/>
      <c r="I6" s="2"/>
      <c r="J6" s="2"/>
    </row>
    <row r="7">
      <c r="A7" s="14" t="str">
        <f>IFERROR(__xludf.DUMMYFUNCTION("TOCOL({IFERROR(FILTER('Member Directory'!$A$4:$A$34,'Member Directory'!$D$4:$D$34=""Team Lead"",ISNUMBER(SEARCH("",Dataset,"","",""&amp;SUBSTITUTE('Member Directory'!$C$4:$C$34,"", "","","")&amp;"",""))),"""");IFERROR(SORT(FILTER('Member Directory'!$A$4:$A$34,'Me"&amp;"mber Directory'!$A$4:$A$34&lt;&gt;"""",'Member Directory'!$D$4:$D$34&lt;&gt;""Team Lead"",ISNUMBER(SEARCH("",Dataset,"","",""&amp;SUBSTITUTE('Member Directory'!$C$4:$C$34,"", "","","")&amp;"","")))),"""")},1)"),"Eric Wu")</f>
        <v>Eric Wu</v>
      </c>
      <c r="B7" s="14" t="str">
        <f>IFERROR(__xludf.DUMMYFUNCTION("TOCOL({IFERROR(FILTER('Member Directory'!$A$4:$A$34,'Member Directory'!$D$4:$D$34=""Team Lead"",ISNUMBER(SEARCH("",Model Architecture,"","",""&amp;SUBSTITUTE('Member Directory'!$C$4:$C$34,"", "","","")&amp;"",""))),"""");IFERROR(SORT(FILTER('Member Directory'!$A$"&amp;"4:$A$34,'Member Directory'!$A$4:$A$34&lt;&gt;"""",'Member Directory'!$D$4:$D$34&lt;&gt;""Team Lead"",ISNUMBER(SEARCH("",Model Architecture,"","",""&amp;SUBSTITUTE('Member Directory'!$C$4:$C$34,"", "","","")&amp;"","")))),"""")},1)"),"Vishnu Sharma")</f>
        <v>Vishnu Sharma</v>
      </c>
      <c r="C7" s="14" t="str">
        <f>IFERROR(__xludf.DUMMYFUNCTION("TOCOL({IFERROR(FILTER('Member Directory'!$A$4:$A$34,'Member Directory'!$D$4:$D$34=""Team Lead"",ISNUMBER(SEARCH("",Pre-Training,"","",""&amp;SUBSTITUTE('Member Directory'!$C$4:$C$34,"", "","","")&amp;"",""))),"""");IFERROR(SORT(FILTER('Member Directory'!$A$4:$A$3"&amp;"4,'Member Directory'!$A$4:$A$34&lt;&gt;"""",'Member Directory'!$D$4:$D$34&lt;&gt;""Team Lead"",ISNUMBER(SEARCH("",Pre-Training,"","",""&amp;SUBSTITUTE('Member Directory'!$C$4:$C$34,"", "","","")&amp;"","")))),"""")},1)"),"Vishnu Sharma")</f>
        <v>Vishnu Sharma</v>
      </c>
      <c r="D7" s="14" t="str">
        <f>IFERROR(__xludf.DUMMYFUNCTION("TOCOL({IFERROR(FILTER('Member Directory'!$A$4:$A$34,'Member Directory'!$D$4:$D$34=""Team Lead"",ISNUMBER(SEARCH("",Post-Training,"","",""&amp;SUBSTITUTE('Member Directory'!$C$4:$C$34,"", "","","")&amp;"",""))),"""");IFERROR(SORT(FILTER('Member Directory'!$A$4:$A$"&amp;"34,'Member Directory'!$A$4:$A$34&lt;&gt;"""",'Member Directory'!$D$4:$D$34&lt;&gt;""Team Lead"",ISNUMBER(SEARCH("",Post-Training,"","",""&amp;SUBSTITUTE('Member Directory'!$C$4:$C$34,"", "","","")&amp;"","")))),"""")},1)"),"Langming (Meric) Xing")</f>
        <v>Langming (Meric) Xing</v>
      </c>
      <c r="E7" s="14" t="str">
        <f>IFERROR(__xludf.DUMMYFUNCTION("TOCOL({IFERROR(FILTER('Member Directory'!$A$4:$A$34,'Member Directory'!$D$4:$D$34=""Team Lead"",ISNUMBER(SEARCH("",Evaluation,"","",""&amp;SUBSTITUTE('Member Directory'!$C$4:$C$34,"", "","","")&amp;"",""))),"""");IFERROR(SORT(FILTER('Member Directory'!$A$4:$A$34,"&amp;"'Member Directory'!$A$4:$A$34&lt;&gt;"""",'Member Directory'!$D$4:$D$34&lt;&gt;""Team Lead"",ISNUMBER(SEARCH("",Evaluation,"","",""&amp;SUBSTITUTE('Member Directory'!$C$4:$C$34,"", "","","")&amp;"","")))),"""")},1)"),"Arhant Choudhary")</f>
        <v>Arhant Choudhary</v>
      </c>
      <c r="F7" s="14" t="str">
        <f>IFERROR(__xludf.DUMMYFUNCTION("TOCOL({IFERROR(FILTER('Member Directory'!$A$4:$A$34,'Member Directory'!$D$4:$D$34=""Team Lead"",ISNUMBER(SEARCH("",Inference / Product,"","",""&amp;SUBSTITUTE('Member Directory'!$C$4:$C$34,"", "","","")&amp;"",""))),"""");IFERROR(SORT(FILTER('Member Directory'!$A"&amp;"$4:$A$34,'Member Directory'!$A$4:$A$34&lt;&gt;"""",'Member Directory'!$D$4:$D$34&lt;&gt;""Team Lead"",ISNUMBER(SEARCH("",Inference / Product,"","",""&amp;SUBSTITUTE('Member Directory'!$C$4:$C$34,"", "","","")&amp;"","")))),"""")},1)"),"")</f>
        <v/>
      </c>
      <c r="G7" s="16"/>
      <c r="H7" s="2"/>
      <c r="I7" s="2"/>
      <c r="J7" s="2"/>
    </row>
    <row r="8">
      <c r="A8" s="14" t="str">
        <f>IFERROR(__xludf.DUMMYFUNCTION("""COMPUTED_VALUE"""),"Grant Matherne")</f>
        <v>Grant Matherne</v>
      </c>
      <c r="B8" s="14" t="str">
        <f>IFERROR(__xludf.DUMMYFUNCTION("""COMPUTED_VALUE"""),"Frank Gonzalez")</f>
        <v>Frank Gonzalez</v>
      </c>
      <c r="C8" s="14" t="str">
        <f>IFERROR(__xludf.DUMMYFUNCTION("""COMPUTED_VALUE"""),"Amy Lin")</f>
        <v>Amy Lin</v>
      </c>
      <c r="D8" s="17" t="str">
        <f>IFERROR(__xludf.DUMMYFUNCTION("""COMPUTED_VALUE"""),"Hiya Vyas")</f>
        <v>Hiya Vyas</v>
      </c>
      <c r="E8" s="14" t="str">
        <f>IFERROR(__xludf.DUMMYFUNCTION("""COMPUTED_VALUE"""),"Cathy Du")</f>
        <v>Cathy Du</v>
      </c>
      <c r="F8" s="14" t="str">
        <f>IFERROR(__xludf.DUMMYFUNCTION("""COMPUTED_VALUE"""),"Siddhartha Venkatayogi")</f>
        <v>Siddhartha Venkatayogi</v>
      </c>
      <c r="G8" s="16"/>
      <c r="H8" s="2"/>
      <c r="I8" s="2"/>
      <c r="J8" s="2"/>
    </row>
    <row r="9">
      <c r="A9" s="14" t="str">
        <f>IFERROR(__xludf.DUMMYFUNCTION("""COMPUTED_VALUE"""),"Nathan Zhao")</f>
        <v>Nathan Zhao</v>
      </c>
      <c r="B9" s="14" t="str">
        <f>IFERROR(__xludf.DUMMYFUNCTION("""COMPUTED_VALUE"""),"Amy Lin")</f>
        <v>Amy Lin</v>
      </c>
      <c r="C9" s="14" t="str">
        <f>IFERROR(__xludf.DUMMYFUNCTION("""COMPUTED_VALUE"""),"Andrew Xia")</f>
        <v>Andrew Xia</v>
      </c>
      <c r="D9" s="17" t="str">
        <f>IFERROR(__xludf.DUMMYFUNCTION("""COMPUTED_VALUE"""),"Eric Ni")</f>
        <v>Eric Ni</v>
      </c>
      <c r="E9" s="14" t="str">
        <f>IFERROR(__xludf.DUMMYFUNCTION("""COMPUTED_VALUE"""),"Isabella Chen")</f>
        <v>Isabella Chen</v>
      </c>
      <c r="F9" s="14"/>
      <c r="G9" s="16"/>
      <c r="H9" s="2"/>
      <c r="I9" s="2"/>
      <c r="J9" s="2"/>
    </row>
    <row r="10">
      <c r="A10" s="18" t="s">
        <v>36</v>
      </c>
      <c r="B10" s="14" t="str">
        <f>IFERROR(__xludf.DUMMYFUNCTION("""COMPUTED_VALUE"""),"Tom Liu")</f>
        <v>Tom Liu</v>
      </c>
      <c r="C10" s="14" t="str">
        <f>IFERROR(__xludf.DUMMYFUNCTION("""COMPUTED_VALUE"""),"Anshul Mago")</f>
        <v>Anshul Mago</v>
      </c>
      <c r="D10" s="14" t="str">
        <f>IFERROR(__xludf.DUMMYFUNCTION("""COMPUTED_VALUE"""),"Katie He")</f>
        <v>Katie He</v>
      </c>
      <c r="E10" s="14" t="str">
        <f>IFERROR(__xludf.DUMMYFUNCTION("""COMPUTED_VALUE"""),"Lawrence Dong")</f>
        <v>Lawrence Dong</v>
      </c>
      <c r="F10" s="14"/>
      <c r="G10" s="16"/>
      <c r="H10" s="2"/>
      <c r="I10" s="2"/>
      <c r="J10" s="2"/>
    </row>
    <row r="11">
      <c r="A11" s="14"/>
      <c r="B11" s="14" t="str">
        <f>IFERROR(__xludf.DUMMYFUNCTION("""COMPUTED_VALUE"""),"Adam Banks")</f>
        <v>Adam Banks</v>
      </c>
      <c r="C11" s="14" t="str">
        <f>IFERROR(__xludf.DUMMYFUNCTION("""COMPUTED_VALUE"""),"Arthur Xu")</f>
        <v>Arthur Xu</v>
      </c>
      <c r="D11" s="17" t="str">
        <f>IFERROR(__xludf.DUMMYFUNCTION("""COMPUTED_VALUE"""),"Siddhartha Venkatayogi")</f>
        <v>Siddhartha Venkatayogi</v>
      </c>
      <c r="E11" s="14" t="str">
        <f>IFERROR(__xludf.DUMMYFUNCTION("""COMPUTED_VALUE"""),"Sameer Agarwal")</f>
        <v>Sameer Agarwal</v>
      </c>
      <c r="F11" s="14"/>
      <c r="G11" s="16"/>
      <c r="H11" s="2"/>
      <c r="I11" s="2"/>
      <c r="J11" s="2"/>
    </row>
    <row r="12">
      <c r="A12" s="14"/>
      <c r="B12" s="14" t="str">
        <f>IFERROR(__xludf.DUMMYFUNCTION("""COMPUTED_VALUE"""),"Adarsh Rajesh")</f>
        <v>Adarsh Rajesh</v>
      </c>
      <c r="C12" s="14" t="str">
        <f>IFERROR(__xludf.DUMMYFUNCTION("""COMPUTED_VALUE"""),"Grant Matherne")</f>
        <v>Grant Matherne</v>
      </c>
      <c r="D12" s="17" t="str">
        <f>IFERROR(__xludf.DUMMYFUNCTION("""COMPUTED_VALUE"""),"Sophia Zhang")</f>
        <v>Sophia Zhang</v>
      </c>
      <c r="E12" s="14"/>
      <c r="F12" s="16"/>
      <c r="G12" s="2"/>
      <c r="H12" s="2"/>
      <c r="I12" s="2"/>
      <c r="J12" s="2"/>
    </row>
    <row r="13">
      <c r="A13" s="14"/>
      <c r="B13" s="14" t="str">
        <f>IFERROR(__xludf.DUMMYFUNCTION("""COMPUTED_VALUE"""),"Andrew Xia")</f>
        <v>Andrew Xia</v>
      </c>
      <c r="C13" s="17" t="str">
        <f>IFERROR(__xludf.DUMMYFUNCTION("""COMPUTED_VALUE"""),"Nathan Zhao")</f>
        <v>Nathan Zhao</v>
      </c>
      <c r="D13" s="14"/>
      <c r="E13" s="14"/>
      <c r="F13" s="16"/>
      <c r="G13" s="2"/>
      <c r="H13" s="2"/>
      <c r="I13" s="2"/>
      <c r="J13" s="2"/>
    </row>
    <row r="14">
      <c r="A14" s="14"/>
      <c r="B14" s="14" t="str">
        <f>IFERROR(__xludf.DUMMYFUNCTION("""COMPUTED_VALUE"""),"Aryan Verma")</f>
        <v>Aryan Verma</v>
      </c>
      <c r="C14" s="14" t="str">
        <f>IFERROR(__xludf.DUMMYFUNCTION("""COMPUTED_VALUE"""),"Tejasvi Tyagi")</f>
        <v>Tejasvi Tyagi</v>
      </c>
      <c r="D14" s="14"/>
      <c r="E14" s="14"/>
      <c r="F14" s="16"/>
      <c r="G14" s="2"/>
      <c r="H14" s="2"/>
      <c r="I14" s="2"/>
      <c r="J14" s="2"/>
    </row>
    <row r="15">
      <c r="A15" s="14"/>
      <c r="B15" s="14" t="str">
        <f>IFERROR(__xludf.DUMMYFUNCTION("""COMPUTED_VALUE"""),"Avaneesh Ramesh")</f>
        <v>Avaneesh Ramesh</v>
      </c>
      <c r="C15" s="17" t="str">
        <f>IFERROR(__xludf.DUMMYFUNCTION("""COMPUTED_VALUE"""),"William Wang")</f>
        <v>William Wang</v>
      </c>
      <c r="D15" s="14"/>
      <c r="E15" s="14"/>
      <c r="F15" s="16"/>
      <c r="G15" s="2"/>
      <c r="H15" s="2"/>
      <c r="I15" s="2"/>
      <c r="J15" s="2"/>
    </row>
    <row r="16">
      <c r="A16" s="14"/>
      <c r="B16" s="14" t="str">
        <f>IFERROR(__xludf.DUMMYFUNCTION("""COMPUTED_VALUE"""),"Claire Mao")</f>
        <v>Claire Mao</v>
      </c>
      <c r="C16" s="14"/>
      <c r="D16" s="14"/>
      <c r="E16" s="14"/>
      <c r="F16" s="16"/>
      <c r="G16" s="2"/>
      <c r="H16" s="2"/>
      <c r="I16" s="2"/>
      <c r="J16" s="2"/>
    </row>
    <row r="17">
      <c r="A17" s="14"/>
      <c r="B17" s="14" t="str">
        <f>IFERROR(__xludf.DUMMYFUNCTION("""COMPUTED_VALUE"""),"Ellie Zhang")</f>
        <v>Ellie Zhang</v>
      </c>
      <c r="C17" s="14"/>
      <c r="D17" s="18"/>
      <c r="E17" s="14"/>
      <c r="F17" s="16"/>
      <c r="G17" s="2"/>
      <c r="H17" s="2"/>
      <c r="I17" s="2"/>
      <c r="J17" s="2"/>
    </row>
    <row r="18">
      <c r="A18" s="14"/>
      <c r="B18" s="14" t="str">
        <f>IFERROR(__xludf.DUMMYFUNCTION("""COMPUTED_VALUE"""),"Iris Cai")</f>
        <v>Iris Cai</v>
      </c>
      <c r="C18" s="14"/>
      <c r="D18" s="14"/>
      <c r="E18" s="14"/>
      <c r="F18" s="16"/>
      <c r="G18" s="2"/>
      <c r="H18" s="2"/>
      <c r="I18" s="2"/>
      <c r="J18" s="2"/>
    </row>
    <row r="19">
      <c r="A19" s="14"/>
      <c r="B19" s="14" t="str">
        <f>IFERROR(__xludf.DUMMYFUNCTION("""COMPUTED_VALUE"""),"Stephen Zhang")</f>
        <v>Stephen Zhang</v>
      </c>
      <c r="C19" s="19" t="s">
        <v>53</v>
      </c>
      <c r="D19" s="14"/>
      <c r="E19" s="14"/>
      <c r="F19" s="16"/>
      <c r="G19" s="2"/>
      <c r="H19" s="2"/>
      <c r="I19" s="2"/>
      <c r="J19" s="2"/>
    </row>
    <row r="20">
      <c r="A20" s="14"/>
      <c r="B20" s="20" t="str">
        <f>IFERROR(__xludf.DUMMYFUNCTION("""COMPUTED_VALUE"""),"William Wang")</f>
        <v>William Wang</v>
      </c>
      <c r="C20" s="18" t="s">
        <v>36</v>
      </c>
      <c r="D20" s="14"/>
      <c r="E20" s="14"/>
      <c r="F20" s="16"/>
      <c r="G20" s="2"/>
      <c r="H20" s="2"/>
      <c r="I20" s="2"/>
      <c r="J20" s="2"/>
    </row>
    <row r="21">
      <c r="A21" s="14"/>
      <c r="B21" s="18" t="s">
        <v>55</v>
      </c>
      <c r="C21" s="14"/>
      <c r="D21" s="14"/>
      <c r="E21" s="14"/>
      <c r="F21" s="16"/>
      <c r="G21" s="2"/>
      <c r="H21" s="2"/>
      <c r="I21" s="2"/>
      <c r="J21" s="2"/>
    </row>
    <row r="22">
      <c r="A22" s="14"/>
      <c r="B22" s="14" t="s">
        <v>39</v>
      </c>
      <c r="C22" s="14"/>
      <c r="D22" s="14"/>
      <c r="E22" s="14"/>
      <c r="F22" s="16"/>
      <c r="G22" s="2"/>
      <c r="H22" s="2"/>
      <c r="I22" s="2"/>
      <c r="J22" s="2"/>
    </row>
    <row r="23">
      <c r="A23" s="16"/>
      <c r="B23" s="21" t="s">
        <v>36</v>
      </c>
      <c r="C23" s="16"/>
      <c r="D23" s="16"/>
      <c r="E23" s="16"/>
      <c r="F23" s="16"/>
      <c r="G23" s="2"/>
      <c r="H23" s="2"/>
      <c r="I23" s="2"/>
      <c r="J23" s="2"/>
    </row>
    <row r="24">
      <c r="A24" s="16"/>
      <c r="B24" s="21" t="s">
        <v>56</v>
      </c>
      <c r="C24" s="16"/>
      <c r="D24" s="16"/>
      <c r="E24" s="16"/>
      <c r="F24" s="16"/>
      <c r="G24" s="2"/>
      <c r="H24" s="2"/>
      <c r="I24" s="2"/>
      <c r="J24" s="2"/>
    </row>
    <row r="25" ht="27.75" customHeight="1">
      <c r="A25" s="22" t="s">
        <v>58</v>
      </c>
      <c r="G25" s="2"/>
      <c r="H25" s="2"/>
      <c r="I25" s="2"/>
      <c r="J25" s="2"/>
    </row>
    <row r="26" ht="28.5" customHeight="1">
      <c r="A26" s="23" t="s">
        <v>57</v>
      </c>
      <c r="B26" s="23" t="s">
        <v>51</v>
      </c>
      <c r="C26" s="23" t="s">
        <v>32</v>
      </c>
      <c r="D26" s="23" t="s">
        <v>18</v>
      </c>
      <c r="E26" s="23" t="s">
        <v>54</v>
      </c>
      <c r="F26" s="23" t="s">
        <v>59</v>
      </c>
      <c r="G26" s="2"/>
      <c r="H26" s="2"/>
      <c r="I26" s="2"/>
      <c r="J26" s="2"/>
    </row>
    <row r="27">
      <c r="A27" s="14" t="str">
        <f>IFERROR(__xludf.DUMMYFUNCTION("TOCOL({IFERROR(FILTER('Member Directory'!$A$4:$A$34,'Member Directory'!$D$4:$D$34=""Team Lead"",ISNUMBER(SEARCH("",P1: Data Corpus,"","",""&amp;SUBSTITUTE('Member Directory'!$B$4:$B$34,"", "","","")&amp;"",""))),"""");IFERROR(SORT(FILTER('Member Directory'!$A$4:$"&amp;"A$34,'Member Directory'!$A$4:$A$34&lt;&gt;"""",'Member Directory'!$D$4:$D$34&lt;&gt;""Team Lead"",ISNUMBER(SEARCH("",P1: Data Corpus,"","",""&amp;SUBSTITUTE('Member Directory'!$B$4:$B$34,"", "","","")&amp;"","")))),"""")},1)"),"Hiya Vyas")</f>
        <v>Hiya Vyas</v>
      </c>
      <c r="B27" s="14" t="str">
        <f>IFERROR(__xludf.DUMMYFUNCTION("TOCOL({IFERROR(FILTER('Member Directory'!$A$4:$A$34,'Member Directory'!$D$4:$D$34=""Team Lead"",ISNUMBER(SEARCH("",P2: Phonic Tokenizer,"","",""&amp;SUBSTITUTE('Member Directory'!$B$4:$B$34,"", "","","")&amp;"",""))),"""");IFERROR(SORT(FILTER('Member Directory'!$"&amp;"A$4:$A$34,'Member Directory'!$A$4:$A$34&lt;&gt;"""",'Member Directory'!$D$4:$D$34&lt;&gt;""Team Lead"",ISNUMBER(SEARCH("",P2: Phonic Tokenizer,"","",""&amp;SUBSTITUTE('Member Directory'!$B$4:$B$34,"", "","","")&amp;"","")))),"""")},1)"),"Frank Gonzalez")</f>
        <v>Frank Gonzalez</v>
      </c>
      <c r="C27" s="14" t="str">
        <f>IFERROR(__xludf.DUMMYFUNCTION("TOCOL({IFERROR(FILTER('Member Directory'!$A$4:$A$34,'Member Directory'!$D$4:$D$34=""Team Lead"",ISNUMBER(SEARCH("",P3: Memory Model,"","",""&amp;SUBSTITUTE('Member Directory'!$B$4:$B$34,"", "","","")&amp;"",""))),"""");IFERROR(SORT(FILTER('Member Directory'!$A$4:"&amp;"$A$34,'Member Directory'!$A$4:$A$34&lt;&gt;"""",'Member Directory'!$D$4:$D$34&lt;&gt;""Team Lead"",ISNUMBER(SEARCH("",P3: Memory Model,"","",""&amp;SUBSTITUTE('Member Directory'!$B$4:$B$34,"", "","","")&amp;"","")))),"""")},1)"),"Vishnu Sharma")</f>
        <v>Vishnu Sharma</v>
      </c>
      <c r="D27" s="14" t="str">
        <f>IFERROR(__xludf.DUMMYFUNCTION("TOCOL({IFERROR(FILTER('Member Directory'!$A$4:$A$34,'Member Directory'!$D$4:$D$34=""Team Lead"",ISNUMBER(SEARCH("",P4: Validating Learning Sci.,"","",""&amp;SUBSTITUTE('Member Directory'!$B$4:$B$34,"", "","","")&amp;"",""))),"""");IFERROR(SORT(FILTER('Member Dire"&amp;"ctory'!$A$4:$A$34,'Member Directory'!$A$4:$A$34&lt;&gt;"""",'Member Directory'!$D$4:$D$34&lt;&gt;""Team Lead"",ISNUMBER(SEARCH("",P4: Validating Learning Sci.,"","",""&amp;SUBSTITUTE('Member Directory'!$B$4:$B$34,"", "","","")&amp;"","")))),"""")},1)"),"Eric Wu")</f>
        <v>Eric Wu</v>
      </c>
      <c r="E27" s="14" t="str">
        <f>IFERROR(__xludf.DUMMYFUNCTION("TOCOL({IFERROR(FILTER('Member Directory'!$A$4:$A$34,'Member Directory'!$D$4:$D$34=""Team Lead"",ISNUMBER(SEARCH("",P5: Pedagogy Benchmark,"","",""&amp;SUBSTITUTE('Member Directory'!$B$4:$B$34,"", "","","")&amp;"",""))),"""");IFERROR(SORT(FILTER('Member Directory'"&amp;"!$A$4:$A$34,'Member Directory'!$A$4:$A$34&lt;&gt;"""",'Member Directory'!$D$4:$D$34&lt;&gt;""Team Lead"",ISNUMBER(SEARCH("",P5: Pedagogy Benchmark,"","",""&amp;SUBSTITUTE('Member Directory'!$B$4:$B$34,"", "","","")&amp;"","")))),"""")},1)"),"Arhant Choudhary")</f>
        <v>Arhant Choudhary</v>
      </c>
      <c r="F27" s="14" t="str">
        <f>IFERROR(__xludf.DUMMYFUNCTION("TOCOL({IFERROR(FILTER('Member Directory'!$A$4:$A$34,'Member Directory'!$D$4:$D$34=""Team Lead"",ISNUMBER(SEARCH("",P7: RL Tutor,"","",""&amp;SUBSTITUTE('Member Directory'!$B$4:$B$34,"", "","","")&amp;"",""))),"""");IFERROR(SORT(FILTER('Member Directory'!$A$4:$A$3"&amp;"4,'Member Directory'!$A$4:$A$34&lt;&gt;"""",'Member Directory'!$D$4:$D$34&lt;&gt;""Team Lead"",ISNUMBER(SEARCH("",P7: RL Tutor,"","",""&amp;SUBSTITUTE('Member Directory'!$B$4:$B$34,"", "","","")&amp;"","")))),"""")},1)"),"Langming (Meric) Xing")</f>
        <v>Langming (Meric) Xing</v>
      </c>
      <c r="G27" s="2"/>
      <c r="H27" s="2"/>
      <c r="I27" s="2"/>
      <c r="J27" s="2"/>
    </row>
    <row r="28">
      <c r="A28" s="14" t="str">
        <f>IFERROR(__xludf.DUMMYFUNCTION("""COMPUTED_VALUE"""),"Ellie Zhang")</f>
        <v>Ellie Zhang</v>
      </c>
      <c r="B28" s="14" t="str">
        <f>IFERROR(__xludf.DUMMYFUNCTION("""COMPUTED_VALUE"""),"Aryan Verma")</f>
        <v>Aryan Verma</v>
      </c>
      <c r="C28" s="14" t="str">
        <f>IFERROR(__xludf.DUMMYFUNCTION("""COMPUTED_VALUE"""),"Adarsh Rajesh")</f>
        <v>Adarsh Rajesh</v>
      </c>
      <c r="D28" s="14" t="str">
        <f>IFERROR(__xludf.DUMMYFUNCTION("""COMPUTED_VALUE"""),"Amy Lin")</f>
        <v>Amy Lin</v>
      </c>
      <c r="E28" s="14" t="str">
        <f>IFERROR(__xludf.DUMMYFUNCTION("""COMPUTED_VALUE"""),"Avaneesh Ramesh")</f>
        <v>Avaneesh Ramesh</v>
      </c>
      <c r="F28" s="14" t="str">
        <f>IFERROR(__xludf.DUMMYFUNCTION("""COMPUTED_VALUE"""),"Tom Liu")</f>
        <v>Tom Liu</v>
      </c>
      <c r="G28" s="2"/>
      <c r="H28" s="2"/>
      <c r="I28" s="2"/>
      <c r="J28" s="2"/>
    </row>
    <row r="29">
      <c r="A29" s="14" t="str">
        <f>IFERROR(__xludf.DUMMYFUNCTION("""COMPUTED_VALUE"""),"Eric Ni")</f>
        <v>Eric Ni</v>
      </c>
      <c r="B29" s="14"/>
      <c r="C29" s="14" t="str">
        <f>IFERROR(__xludf.DUMMYFUNCTION("""COMPUTED_VALUE"""),"Arthur Xu")</f>
        <v>Arthur Xu</v>
      </c>
      <c r="D29" s="14" t="str">
        <f>IFERROR(__xludf.DUMMYFUNCTION("""COMPUTED_VALUE"""),"Adam Banks")</f>
        <v>Adam Banks</v>
      </c>
      <c r="E29" s="14" t="str">
        <f>IFERROR(__xludf.DUMMYFUNCTION("""COMPUTED_VALUE"""),"Cathy Du")</f>
        <v>Cathy Du</v>
      </c>
      <c r="F29" s="14" t="str">
        <f>IFERROR(__xludf.DUMMYFUNCTION("""COMPUTED_VALUE"""),"Siddhartha Venkatayogi")</f>
        <v>Siddhartha Venkatayogi</v>
      </c>
      <c r="G29" s="2"/>
      <c r="H29" s="2"/>
      <c r="I29" s="2"/>
      <c r="J29" s="2"/>
    </row>
    <row r="30">
      <c r="A30" s="14" t="str">
        <f>IFERROR(__xludf.DUMMYFUNCTION("""COMPUTED_VALUE"""),"Grant Matherne")</f>
        <v>Grant Matherne</v>
      </c>
      <c r="B30" s="14"/>
      <c r="C30" s="17" t="str">
        <f>IFERROR(__xludf.DUMMYFUNCTION("""COMPUTED_VALUE"""),"Claire Mao")</f>
        <v>Claire Mao</v>
      </c>
      <c r="D30" s="14" t="str">
        <f>IFERROR(__xludf.DUMMYFUNCTION("""COMPUTED_VALUE"""),"Andrew Xia")</f>
        <v>Andrew Xia</v>
      </c>
      <c r="E30" s="14" t="str">
        <f>IFERROR(__xludf.DUMMYFUNCTION("""COMPUTED_VALUE"""),"Isabella Chen")</f>
        <v>Isabella Chen</v>
      </c>
      <c r="F30" s="14"/>
      <c r="G30" s="2"/>
      <c r="H30" s="2"/>
      <c r="I30" s="2"/>
      <c r="J30" s="2"/>
    </row>
    <row r="31">
      <c r="A31" s="14" t="str">
        <f>IFERROR(__xludf.DUMMYFUNCTION("""COMPUTED_VALUE"""),"Nathan Zhao")</f>
        <v>Nathan Zhao</v>
      </c>
      <c r="B31" s="14"/>
      <c r="C31" s="14" t="str">
        <f>IFERROR(__xludf.DUMMYFUNCTION("""COMPUTED_VALUE"""),"Iris Cai")</f>
        <v>Iris Cai</v>
      </c>
      <c r="D31" s="14" t="str">
        <f>IFERROR(__xludf.DUMMYFUNCTION("""COMPUTED_VALUE"""),"Anshul Mago")</f>
        <v>Anshul Mago</v>
      </c>
      <c r="E31" s="14" t="str">
        <f>IFERROR(__xludf.DUMMYFUNCTION("""COMPUTED_VALUE"""),"Sameer Agarwal")</f>
        <v>Sameer Agarwal</v>
      </c>
      <c r="F31" s="14"/>
      <c r="G31" s="2"/>
      <c r="H31" s="2"/>
      <c r="I31" s="2"/>
      <c r="J31" s="2"/>
    </row>
    <row r="32">
      <c r="A32" s="14"/>
      <c r="B32" s="14"/>
      <c r="C32" s="14" t="str">
        <f>IFERROR(__xludf.DUMMYFUNCTION("""COMPUTED_VALUE"""),"Katie He")</f>
        <v>Katie He</v>
      </c>
      <c r="D32" s="14" t="str">
        <f>IFERROR(__xludf.DUMMYFUNCTION("""COMPUTED_VALUE"""),"Katie He")</f>
        <v>Katie He</v>
      </c>
      <c r="E32" s="14"/>
      <c r="F32" s="14"/>
      <c r="G32" s="2"/>
      <c r="H32" s="2"/>
      <c r="I32" s="2"/>
      <c r="J32" s="2"/>
    </row>
    <row r="33">
      <c r="A33" s="14"/>
      <c r="B33" s="14"/>
      <c r="C33" s="14" t="str">
        <f>IFERROR(__xludf.DUMMYFUNCTION("""COMPUTED_VALUE"""),"Sophia Zhang")</f>
        <v>Sophia Zhang</v>
      </c>
      <c r="D33" s="14" t="str">
        <f>IFERROR(__xludf.DUMMYFUNCTION("""COMPUTED_VALUE"""),"Lawrence Dong")</f>
        <v>Lawrence Dong</v>
      </c>
      <c r="E33" s="14"/>
      <c r="F33" s="14"/>
      <c r="G33" s="2"/>
      <c r="H33" s="2"/>
      <c r="I33" s="2"/>
      <c r="J33" s="2"/>
    </row>
    <row r="34">
      <c r="A34" s="14"/>
      <c r="B34" s="14"/>
      <c r="C34" s="14" t="str">
        <f>IFERROR(__xludf.DUMMYFUNCTION("""COMPUTED_VALUE"""),"Stephen Zhang")</f>
        <v>Stephen Zhang</v>
      </c>
      <c r="D34" s="14" t="str">
        <f>IFERROR(__xludf.DUMMYFUNCTION("""COMPUTED_VALUE"""),"Tejasvi Tyagi")</f>
        <v>Tejasvi Tyagi</v>
      </c>
      <c r="E34" s="14"/>
      <c r="F34" s="14"/>
      <c r="G34" s="2"/>
      <c r="H34" s="2"/>
      <c r="I34" s="2"/>
      <c r="J34" s="2"/>
    </row>
    <row r="35">
      <c r="A35" s="14"/>
      <c r="B35" s="14"/>
      <c r="C35" s="18" t="s">
        <v>36</v>
      </c>
      <c r="D35" s="14" t="str">
        <f>IFERROR(__xludf.DUMMYFUNCTION("""COMPUTED_VALUE"""),"William Wang")</f>
        <v>William Wang</v>
      </c>
      <c r="E35" s="14"/>
      <c r="F35" s="14"/>
      <c r="G35" s="2"/>
      <c r="H35" s="2"/>
      <c r="I35" s="2"/>
      <c r="J35" s="2"/>
    </row>
    <row r="36">
      <c r="A36" s="14"/>
      <c r="B36" s="14"/>
      <c r="C36" s="14" t="s">
        <v>29</v>
      </c>
      <c r="D36" s="14"/>
      <c r="E36" s="14"/>
      <c r="F36" s="14"/>
      <c r="G36" s="2"/>
      <c r="H36" s="2"/>
      <c r="I36" s="2"/>
      <c r="J36" s="2"/>
    </row>
    <row r="37">
      <c r="A37" s="14"/>
      <c r="B37" s="14"/>
      <c r="C37" s="14"/>
      <c r="D37" s="14"/>
      <c r="E37" s="14"/>
      <c r="F37" s="14"/>
      <c r="G37" s="2"/>
      <c r="H37" s="2"/>
      <c r="I37" s="2"/>
      <c r="J37" s="2"/>
    </row>
    <row r="38">
      <c r="A38" s="14"/>
      <c r="B38" s="14"/>
      <c r="C38" s="14"/>
      <c r="D38" s="14"/>
      <c r="E38" s="14"/>
      <c r="F38" s="14"/>
      <c r="G38" s="2"/>
      <c r="H38" s="2"/>
      <c r="I38" s="2"/>
      <c r="J38" s="2"/>
    </row>
    <row r="39">
      <c r="A39" s="14"/>
      <c r="B39" s="14"/>
      <c r="C39" s="14"/>
      <c r="D39" s="14"/>
      <c r="E39" s="14"/>
      <c r="F39" s="14"/>
      <c r="G39" s="2"/>
      <c r="H39" s="2"/>
      <c r="I39" s="2"/>
      <c r="J39" s="2"/>
    </row>
    <row r="40">
      <c r="A40" s="14"/>
      <c r="B40" s="14"/>
      <c r="C40" s="14"/>
      <c r="D40" s="14"/>
      <c r="E40" s="14"/>
      <c r="F40" s="14"/>
      <c r="G40" s="2"/>
      <c r="H40" s="2"/>
      <c r="I40" s="2"/>
      <c r="J40" s="2"/>
    </row>
    <row r="41">
      <c r="A41" s="14"/>
      <c r="B41" s="14"/>
      <c r="C41" s="14"/>
      <c r="D41" s="14"/>
      <c r="E41" s="14"/>
      <c r="F41" s="14"/>
      <c r="G41" s="2"/>
      <c r="H41" s="2"/>
      <c r="I41" s="2"/>
      <c r="J41" s="2"/>
    </row>
    <row r="42">
      <c r="A42" s="14"/>
      <c r="B42" s="14"/>
      <c r="C42" s="14"/>
      <c r="D42" s="14"/>
      <c r="E42" s="14"/>
      <c r="F42" s="14"/>
      <c r="G42" s="2"/>
      <c r="H42" s="2"/>
      <c r="I42" s="2"/>
      <c r="J42" s="2"/>
    </row>
    <row r="43">
      <c r="A43" s="14"/>
      <c r="B43" s="14"/>
      <c r="C43" s="14"/>
      <c r="D43" s="14"/>
      <c r="E43" s="14"/>
      <c r="F43" s="14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mergeCells count="8">
    <mergeCell ref="A1:F2"/>
    <mergeCell ref="A3:F3"/>
    <mergeCell ref="A4:B4"/>
    <mergeCell ref="C4:D4"/>
    <mergeCell ref="E4:F4"/>
    <mergeCell ref="A5:F5"/>
    <mergeCell ref="A25:F25"/>
    <mergeCell ref="D46:E46"/>
  </mergeCells>
  <conditionalFormatting sqref="A7:E23 F7:G11 A27:F43">
    <cfRule type="expression" dxfId="5" priority="1" stopIfTrue="1">
      <formula>AND(A7&lt;&gt;"",IFERROR(INDEX(INDIRECT("'Member Directory'!D4:D"),MATCH(A7,INDIRECT("'Member Directory'!A4:A"),0))="Team Lead",FALSE))</formula>
    </cfRule>
  </conditionalFormatting>
  <conditionalFormatting sqref="A7:E23 F7:G11 A27:F43">
    <cfRule type="expression" dxfId="6" priority="2" stopIfTrue="1">
      <formula>AND(A7&lt;&gt;"",IFERROR(INDEX(INDIRECT("'Member Directory'!D4:D"),MATCH(A7,INDIRECT("'Member Directory'!A4:A"),0))="Member",FALSE),IFERROR(OR(REGEXMATCH(INDEX(INDIRECT("'Member Directory'!B4:B"),MATCH(A7,INDIRECT("'Member Directory'!A4:A"),0)),",\s*"),REGEXMATCH(INDEX(INDIRECT("'Member Directory'!C4:C"),MATCH(A7,INDIRECT("'Member Directory'!A4:A"),0)),",\s*")),FALSE))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6" width="23.88"/>
    <col customWidth="1" min="7" max="7" width="19.5"/>
  </cols>
  <sheetData>
    <row r="1" ht="25.5" customHeight="1">
      <c r="A1" s="1" t="s">
        <v>0</v>
      </c>
      <c r="G1" s="2"/>
      <c r="H1" s="2"/>
      <c r="I1" s="2"/>
      <c r="J1" s="2"/>
    </row>
    <row r="2" ht="25.5" customHeight="1">
      <c r="G2" s="2"/>
      <c r="H2" s="2"/>
      <c r="I2" s="2"/>
      <c r="J2" s="2"/>
    </row>
    <row r="3">
      <c r="A3" s="3" t="s">
        <v>1</v>
      </c>
      <c r="G3" s="2"/>
      <c r="H3" s="2"/>
      <c r="I3" s="2"/>
      <c r="J3" s="2"/>
    </row>
    <row r="4" ht="19.5" customHeight="1">
      <c r="A4" s="4" t="s">
        <v>2</v>
      </c>
      <c r="B4" s="5"/>
      <c r="C4" s="6" t="s">
        <v>3</v>
      </c>
      <c r="D4" s="5"/>
      <c r="E4" s="7" t="s">
        <v>4</v>
      </c>
      <c r="F4" s="5"/>
      <c r="G4" s="2"/>
      <c r="H4" s="2"/>
      <c r="I4" s="2"/>
      <c r="J4" s="2"/>
    </row>
    <row r="5" ht="28.5" customHeight="1">
      <c r="A5" s="8" t="s">
        <v>5</v>
      </c>
      <c r="G5" s="2"/>
      <c r="H5" s="2"/>
      <c r="I5" s="2"/>
      <c r="J5" s="2"/>
    </row>
    <row r="6" ht="22.5" customHeight="1">
      <c r="A6" s="9" t="s">
        <v>6</v>
      </c>
      <c r="B6" s="9" t="s">
        <v>7</v>
      </c>
      <c r="C6" s="10" t="s">
        <v>8</v>
      </c>
      <c r="D6" s="10" t="s">
        <v>9</v>
      </c>
      <c r="E6" s="9" t="s">
        <v>11</v>
      </c>
      <c r="F6" s="9" t="s">
        <v>12</v>
      </c>
      <c r="G6" s="10" t="s">
        <v>13</v>
      </c>
      <c r="H6" s="2"/>
      <c r="I6" s="2"/>
      <c r="J6" s="2"/>
    </row>
    <row r="7">
      <c r="A7" s="14" t="s">
        <v>19</v>
      </c>
      <c r="B7" s="14" t="s">
        <v>20</v>
      </c>
      <c r="C7" s="14" t="s">
        <v>20</v>
      </c>
      <c r="D7" s="14" t="s">
        <v>21</v>
      </c>
      <c r="E7" s="14" t="s">
        <v>22</v>
      </c>
      <c r="F7" s="14" t="s">
        <v>23</v>
      </c>
      <c r="G7" s="16"/>
      <c r="H7" s="2"/>
      <c r="I7" s="2"/>
      <c r="J7" s="2"/>
    </row>
    <row r="8">
      <c r="A8" s="14" t="s">
        <v>24</v>
      </c>
      <c r="B8" s="14" t="s">
        <v>25</v>
      </c>
      <c r="C8" s="14" t="s">
        <v>26</v>
      </c>
      <c r="D8" s="17" t="s">
        <v>27</v>
      </c>
      <c r="E8" s="14" t="s">
        <v>28</v>
      </c>
      <c r="F8" s="14" t="s">
        <v>29</v>
      </c>
      <c r="G8" s="16"/>
      <c r="H8" s="2"/>
      <c r="I8" s="2"/>
      <c r="J8" s="2"/>
    </row>
    <row r="9">
      <c r="A9" s="14" t="s">
        <v>31</v>
      </c>
      <c r="B9" s="14" t="s">
        <v>26</v>
      </c>
      <c r="C9" s="14" t="s">
        <v>33</v>
      </c>
      <c r="D9" s="17" t="s">
        <v>34</v>
      </c>
      <c r="E9" s="14" t="s">
        <v>35</v>
      </c>
      <c r="F9" s="14"/>
      <c r="G9" s="16"/>
      <c r="H9" s="2"/>
      <c r="I9" s="2"/>
      <c r="J9" s="2"/>
    </row>
    <row r="10">
      <c r="A10" s="18" t="s">
        <v>36</v>
      </c>
      <c r="B10" s="14" t="s">
        <v>37</v>
      </c>
      <c r="C10" s="14" t="s">
        <v>38</v>
      </c>
      <c r="D10" s="14" t="s">
        <v>39</v>
      </c>
      <c r="E10" s="14" t="s">
        <v>40</v>
      </c>
      <c r="F10" s="14"/>
      <c r="G10" s="16"/>
      <c r="H10" s="2"/>
      <c r="I10" s="2"/>
      <c r="J10" s="2"/>
    </row>
    <row r="11">
      <c r="A11" s="14"/>
      <c r="B11" s="14" t="s">
        <v>17</v>
      </c>
      <c r="C11" s="14" t="s">
        <v>42</v>
      </c>
      <c r="D11" s="17" t="s">
        <v>29</v>
      </c>
      <c r="E11" s="14" t="s">
        <v>43</v>
      </c>
      <c r="F11" s="14"/>
      <c r="G11" s="16"/>
      <c r="H11" s="2"/>
      <c r="I11" s="2"/>
      <c r="J11" s="2"/>
    </row>
    <row r="12">
      <c r="A12" s="14"/>
      <c r="B12" s="14" t="s">
        <v>30</v>
      </c>
      <c r="C12" s="14" t="s">
        <v>24</v>
      </c>
      <c r="D12" s="17" t="s">
        <v>44</v>
      </c>
      <c r="E12" s="14"/>
      <c r="F12" s="16"/>
      <c r="G12" s="2"/>
      <c r="H12" s="2"/>
      <c r="I12" s="2"/>
      <c r="J12" s="2"/>
    </row>
    <row r="13">
      <c r="A13" s="14"/>
      <c r="B13" s="14" t="s">
        <v>33</v>
      </c>
      <c r="C13" s="17" t="s">
        <v>31</v>
      </c>
      <c r="D13" s="14"/>
      <c r="E13" s="14"/>
      <c r="F13" s="16"/>
      <c r="G13" s="2"/>
      <c r="H13" s="2"/>
      <c r="I13" s="2"/>
      <c r="J13" s="2"/>
    </row>
    <row r="14">
      <c r="A14" s="14"/>
      <c r="B14" s="14" t="s">
        <v>45</v>
      </c>
      <c r="C14" s="14" t="s">
        <v>46</v>
      </c>
      <c r="D14" s="14"/>
      <c r="E14" s="14"/>
      <c r="F14" s="16"/>
      <c r="G14" s="2"/>
      <c r="H14" s="2"/>
      <c r="I14" s="2"/>
      <c r="J14" s="2"/>
    </row>
    <row r="15">
      <c r="A15" s="14"/>
      <c r="B15" s="14" t="s">
        <v>47</v>
      </c>
      <c r="C15" s="17" t="s">
        <v>48</v>
      </c>
      <c r="D15" s="14"/>
      <c r="E15" s="14"/>
      <c r="F15" s="16"/>
      <c r="G15" s="2"/>
      <c r="H15" s="2"/>
      <c r="I15" s="2"/>
      <c r="J15" s="2"/>
    </row>
    <row r="16">
      <c r="A16" s="14"/>
      <c r="B16" s="14" t="s">
        <v>49</v>
      </c>
      <c r="C16" s="14"/>
      <c r="D16" s="14"/>
      <c r="E16" s="14"/>
      <c r="F16" s="16"/>
      <c r="G16" s="2"/>
      <c r="H16" s="2"/>
      <c r="I16" s="2"/>
      <c r="J16" s="2"/>
    </row>
    <row r="17">
      <c r="A17" s="14"/>
      <c r="B17" s="14" t="s">
        <v>50</v>
      </c>
      <c r="C17" s="14"/>
      <c r="D17" s="18"/>
      <c r="E17" s="14"/>
      <c r="F17" s="16"/>
      <c r="G17" s="2"/>
      <c r="H17" s="2"/>
      <c r="I17" s="2"/>
      <c r="J17" s="2"/>
    </row>
    <row r="18">
      <c r="A18" s="14"/>
      <c r="B18" s="14" t="s">
        <v>52</v>
      </c>
      <c r="C18" s="14"/>
      <c r="D18" s="14"/>
      <c r="E18" s="14"/>
      <c r="F18" s="16"/>
      <c r="G18" s="2"/>
      <c r="H18" s="2"/>
      <c r="I18" s="2"/>
      <c r="J18" s="2"/>
    </row>
    <row r="19">
      <c r="A19" s="14"/>
      <c r="B19" s="14" t="s">
        <v>53</v>
      </c>
      <c r="C19" s="19" t="s">
        <v>53</v>
      </c>
      <c r="D19" s="14"/>
      <c r="E19" s="14"/>
      <c r="F19" s="16"/>
      <c r="G19" s="2"/>
      <c r="H19" s="2"/>
      <c r="I19" s="2"/>
      <c r="J19" s="2"/>
    </row>
    <row r="20">
      <c r="A20" s="14"/>
      <c r="B20" s="20" t="s">
        <v>48</v>
      </c>
      <c r="C20" s="18" t="s">
        <v>36</v>
      </c>
      <c r="D20" s="14"/>
      <c r="E20" s="14"/>
      <c r="F20" s="16"/>
      <c r="G20" s="2"/>
      <c r="H20" s="2"/>
      <c r="I20" s="2"/>
      <c r="J20" s="2"/>
    </row>
    <row r="21">
      <c r="A21" s="14"/>
      <c r="B21" s="18" t="s">
        <v>55</v>
      </c>
      <c r="C21" s="14"/>
      <c r="D21" s="14"/>
      <c r="E21" s="14"/>
      <c r="F21" s="16"/>
      <c r="G21" s="2"/>
      <c r="H21" s="2"/>
      <c r="I21" s="2"/>
      <c r="J21" s="2"/>
    </row>
    <row r="22">
      <c r="A22" s="14"/>
      <c r="B22" s="14" t="s">
        <v>39</v>
      </c>
      <c r="C22" s="14"/>
      <c r="D22" s="14"/>
      <c r="E22" s="14"/>
      <c r="F22" s="16"/>
      <c r="G22" s="2"/>
      <c r="H22" s="2"/>
      <c r="I22" s="2"/>
      <c r="J22" s="2"/>
    </row>
    <row r="23">
      <c r="A23" s="16"/>
      <c r="B23" s="21" t="s">
        <v>36</v>
      </c>
      <c r="C23" s="16"/>
      <c r="D23" s="16"/>
      <c r="E23" s="16"/>
      <c r="F23" s="16"/>
      <c r="G23" s="2"/>
      <c r="H23" s="2"/>
      <c r="I23" s="2"/>
      <c r="J23" s="2"/>
    </row>
    <row r="24">
      <c r="A24" s="16"/>
      <c r="B24" s="21" t="s">
        <v>56</v>
      </c>
      <c r="C24" s="16"/>
      <c r="D24" s="16"/>
      <c r="E24" s="16"/>
      <c r="F24" s="16"/>
      <c r="G24" s="2"/>
      <c r="H24" s="2"/>
      <c r="I24" s="2"/>
      <c r="J24" s="2"/>
    </row>
    <row r="25" ht="27.75" customHeight="1">
      <c r="A25" s="22" t="s">
        <v>58</v>
      </c>
      <c r="G25" s="2"/>
      <c r="H25" s="2"/>
      <c r="I25" s="2"/>
      <c r="J25" s="2"/>
    </row>
    <row r="26" ht="28.5" customHeight="1">
      <c r="A26" s="23" t="s">
        <v>57</v>
      </c>
      <c r="B26" s="23" t="s">
        <v>51</v>
      </c>
      <c r="C26" s="23" t="s">
        <v>32</v>
      </c>
      <c r="D26" s="23" t="s">
        <v>18</v>
      </c>
      <c r="E26" s="23" t="s">
        <v>54</v>
      </c>
      <c r="F26" s="23" t="s">
        <v>59</v>
      </c>
      <c r="G26" s="2"/>
      <c r="H26" s="2"/>
      <c r="I26" s="2"/>
      <c r="J26" s="2"/>
    </row>
    <row r="27">
      <c r="A27" s="14" t="s">
        <v>27</v>
      </c>
      <c r="B27" s="14" t="s">
        <v>25</v>
      </c>
      <c r="C27" s="14" t="s">
        <v>20</v>
      </c>
      <c r="D27" s="14" t="s">
        <v>19</v>
      </c>
      <c r="E27" s="14" t="s">
        <v>22</v>
      </c>
      <c r="F27" s="14" t="s">
        <v>21</v>
      </c>
      <c r="G27" s="2"/>
      <c r="H27" s="2"/>
      <c r="I27" s="2"/>
      <c r="J27" s="2"/>
    </row>
    <row r="28">
      <c r="A28" s="14" t="s">
        <v>50</v>
      </c>
      <c r="B28" s="14" t="s">
        <v>45</v>
      </c>
      <c r="C28" s="14" t="s">
        <v>30</v>
      </c>
      <c r="D28" s="14" t="s">
        <v>26</v>
      </c>
      <c r="E28" s="14" t="s">
        <v>47</v>
      </c>
      <c r="F28" s="14" t="s">
        <v>37</v>
      </c>
      <c r="G28" s="2"/>
      <c r="H28" s="2"/>
      <c r="I28" s="2"/>
      <c r="J28" s="2"/>
    </row>
    <row r="29">
      <c r="A29" s="14" t="s">
        <v>34</v>
      </c>
      <c r="B29" s="14"/>
      <c r="C29" s="14" t="s">
        <v>42</v>
      </c>
      <c r="D29" s="14" t="s">
        <v>17</v>
      </c>
      <c r="E29" s="14" t="s">
        <v>28</v>
      </c>
      <c r="F29" s="14" t="s">
        <v>29</v>
      </c>
      <c r="G29" s="2"/>
      <c r="H29" s="2"/>
      <c r="I29" s="2"/>
      <c r="J29" s="2"/>
    </row>
    <row r="30">
      <c r="A30" s="14" t="s">
        <v>24</v>
      </c>
      <c r="B30" s="14"/>
      <c r="C30" s="17" t="s">
        <v>49</v>
      </c>
      <c r="D30" s="14" t="s">
        <v>33</v>
      </c>
      <c r="E30" s="14" t="s">
        <v>35</v>
      </c>
      <c r="F30" s="14"/>
      <c r="G30" s="2"/>
      <c r="H30" s="2"/>
      <c r="I30" s="2"/>
      <c r="J30" s="2"/>
    </row>
    <row r="31">
      <c r="A31" s="14" t="s">
        <v>31</v>
      </c>
      <c r="B31" s="14"/>
      <c r="C31" s="14" t="s">
        <v>52</v>
      </c>
      <c r="D31" s="14" t="s">
        <v>38</v>
      </c>
      <c r="E31" s="14" t="s">
        <v>43</v>
      </c>
      <c r="F31" s="14"/>
      <c r="G31" s="2"/>
      <c r="H31" s="2"/>
      <c r="I31" s="2"/>
      <c r="J31" s="2"/>
    </row>
    <row r="32">
      <c r="A32" s="14"/>
      <c r="B32" s="14"/>
      <c r="C32" s="14" t="s">
        <v>39</v>
      </c>
      <c r="D32" s="14" t="s">
        <v>39</v>
      </c>
      <c r="E32" s="14"/>
      <c r="F32" s="14"/>
      <c r="G32" s="2"/>
      <c r="H32" s="2"/>
      <c r="I32" s="2"/>
      <c r="J32" s="2"/>
    </row>
    <row r="33">
      <c r="A33" s="14"/>
      <c r="B33" s="14"/>
      <c r="C33" s="14" t="s">
        <v>44</v>
      </c>
      <c r="D33" s="14" t="s">
        <v>40</v>
      </c>
      <c r="E33" s="14"/>
      <c r="F33" s="14"/>
      <c r="G33" s="2"/>
      <c r="H33" s="2"/>
      <c r="I33" s="2"/>
      <c r="J33" s="2"/>
    </row>
    <row r="34">
      <c r="A34" s="14"/>
      <c r="B34" s="14"/>
      <c r="C34" s="14" t="s">
        <v>53</v>
      </c>
      <c r="D34" s="14" t="s">
        <v>46</v>
      </c>
      <c r="E34" s="14"/>
      <c r="F34" s="14"/>
      <c r="G34" s="2"/>
      <c r="H34" s="2"/>
      <c r="I34" s="2"/>
      <c r="J34" s="2"/>
    </row>
    <row r="35">
      <c r="A35" s="14"/>
      <c r="B35" s="14"/>
      <c r="C35" s="18" t="s">
        <v>36</v>
      </c>
      <c r="D35" s="14" t="s">
        <v>48</v>
      </c>
      <c r="E35" s="14"/>
      <c r="F35" s="14"/>
      <c r="G35" s="2"/>
      <c r="H35" s="2"/>
      <c r="I35" s="2"/>
      <c r="J35" s="2"/>
    </row>
    <row r="36">
      <c r="A36" s="14"/>
      <c r="B36" s="14"/>
      <c r="C36" s="14" t="s">
        <v>29</v>
      </c>
      <c r="D36" s="14"/>
      <c r="E36" s="14"/>
      <c r="F36" s="14"/>
      <c r="G36" s="2"/>
      <c r="H36" s="2"/>
      <c r="I36" s="2"/>
      <c r="J36" s="2"/>
    </row>
    <row r="37">
      <c r="A37" s="14"/>
      <c r="B37" s="14"/>
      <c r="C37" s="14"/>
      <c r="D37" s="14"/>
      <c r="E37" s="14"/>
      <c r="F37" s="14"/>
      <c r="G37" s="2"/>
      <c r="H37" s="2"/>
      <c r="I37" s="2"/>
      <c r="J37" s="2"/>
    </row>
    <row r="38">
      <c r="A38" s="14"/>
      <c r="B38" s="14"/>
      <c r="C38" s="14"/>
      <c r="D38" s="14"/>
      <c r="E38" s="14"/>
      <c r="F38" s="14"/>
      <c r="G38" s="2"/>
      <c r="H38" s="2"/>
      <c r="I38" s="2"/>
      <c r="J38" s="2"/>
    </row>
    <row r="39">
      <c r="A39" s="14"/>
      <c r="B39" s="14"/>
      <c r="C39" s="14"/>
      <c r="D39" s="14"/>
      <c r="E39" s="14"/>
      <c r="F39" s="14"/>
      <c r="G39" s="2"/>
      <c r="H39" s="2"/>
      <c r="I39" s="2"/>
      <c r="J39" s="2"/>
    </row>
    <row r="40">
      <c r="A40" s="14"/>
      <c r="B40" s="14"/>
      <c r="C40" s="14"/>
      <c r="D40" s="14"/>
      <c r="E40" s="14"/>
      <c r="F40" s="14"/>
      <c r="G40" s="2"/>
      <c r="H40" s="2"/>
      <c r="I40" s="2"/>
      <c r="J40" s="2"/>
    </row>
    <row r="41">
      <c r="A41" s="14"/>
      <c r="B41" s="14"/>
      <c r="C41" s="14"/>
      <c r="D41" s="14"/>
      <c r="E41" s="14"/>
      <c r="F41" s="14"/>
      <c r="G41" s="2"/>
      <c r="H41" s="2"/>
      <c r="I41" s="2"/>
      <c r="J41" s="2"/>
    </row>
    <row r="42">
      <c r="A42" s="14"/>
      <c r="B42" s="14"/>
      <c r="C42" s="14"/>
      <c r="D42" s="14"/>
      <c r="E42" s="14"/>
      <c r="F42" s="14"/>
      <c r="G42" s="2"/>
      <c r="H42" s="2"/>
      <c r="I42" s="2"/>
      <c r="J42" s="2"/>
    </row>
    <row r="43">
      <c r="A43" s="14"/>
      <c r="B43" s="14"/>
      <c r="C43" s="14"/>
      <c r="D43" s="14"/>
      <c r="E43" s="14"/>
      <c r="F43" s="14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mergeCells count="8">
    <mergeCell ref="A1:F2"/>
    <mergeCell ref="A3:F3"/>
    <mergeCell ref="A4:B4"/>
    <mergeCell ref="C4:D4"/>
    <mergeCell ref="E4:F4"/>
    <mergeCell ref="A5:F5"/>
    <mergeCell ref="A25:F25"/>
    <mergeCell ref="D46:E46"/>
  </mergeCells>
  <conditionalFormatting sqref="A7:E23 F7:G11 A27:F43">
    <cfRule type="expression" dxfId="5" priority="1" stopIfTrue="1">
      <formula>AND(A7&lt;&gt;"",IFERROR(INDEX(INDIRECT("'Member Directory'!D4:D"),MATCH(A7,INDIRECT("'Member Directory'!A4:A"),0))="Team Lead",FALSE))</formula>
    </cfRule>
  </conditionalFormatting>
  <conditionalFormatting sqref="A7:E23 F7:G11 A27:F43">
    <cfRule type="expression" dxfId="6" priority="2" stopIfTrue="1">
      <formula>AND(A7&lt;&gt;"",IFERROR(INDEX(INDIRECT("'Member Directory'!D4:D"),MATCH(A7,INDIRECT("'Member Directory'!A4:A"),0))="Member",FALSE),IFERROR(OR(REGEXMATCH(INDEX(INDIRECT("'Member Directory'!B4:B"),MATCH(A7,INDIRECT("'Member Directory'!A4:A"),0)),",\s*"),REGEXMATCH(INDEX(INDIRECT("'Member Directory'!C4:C"),MATCH(A7,INDIRECT("'Member Directory'!A4:A"),0)),",\s*")),FALSE))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35.88"/>
    <col customWidth="1" min="3" max="3" width="30.75"/>
    <col customWidth="1" min="4" max="4" width="16.25"/>
  </cols>
  <sheetData>
    <row r="1" ht="28.5" customHeight="1">
      <c r="A1" s="1" t="s">
        <v>10</v>
      </c>
      <c r="E1" s="2"/>
      <c r="F1" s="2"/>
      <c r="G1" s="2"/>
      <c r="H1" s="2"/>
    </row>
    <row r="2" ht="28.5" customHeight="1">
      <c r="E2" s="2"/>
      <c r="F2" s="2"/>
      <c r="G2" s="2"/>
      <c r="H2" s="2"/>
    </row>
    <row r="3" ht="28.5" customHeight="1">
      <c r="A3" s="11" t="s">
        <v>4</v>
      </c>
      <c r="B3" s="11" t="s">
        <v>14</v>
      </c>
      <c r="C3" s="11" t="s">
        <v>15</v>
      </c>
      <c r="D3" s="11" t="s">
        <v>16</v>
      </c>
      <c r="E3" s="2"/>
      <c r="F3" s="2"/>
      <c r="G3" s="2"/>
      <c r="H3" s="2"/>
    </row>
    <row r="4" ht="28.5" customHeight="1">
      <c r="A4" s="12" t="s">
        <v>17</v>
      </c>
      <c r="B4" s="13" t="s">
        <v>18</v>
      </c>
      <c r="C4" s="13" t="s">
        <v>7</v>
      </c>
      <c r="D4" s="15" t="s">
        <v>4</v>
      </c>
      <c r="E4" s="2"/>
      <c r="F4" s="2"/>
      <c r="G4" s="2"/>
      <c r="H4" s="2"/>
    </row>
    <row r="5" ht="28.5" customHeight="1">
      <c r="A5" s="12" t="s">
        <v>30</v>
      </c>
      <c r="B5" s="13" t="s">
        <v>32</v>
      </c>
      <c r="C5" s="13" t="s">
        <v>7</v>
      </c>
      <c r="D5" s="15" t="s">
        <v>4</v>
      </c>
      <c r="E5" s="2"/>
      <c r="F5" s="2"/>
      <c r="G5" s="2"/>
      <c r="H5" s="2"/>
    </row>
    <row r="6" ht="28.5" customHeight="1">
      <c r="A6" s="12" t="s">
        <v>33</v>
      </c>
      <c r="B6" s="13" t="s">
        <v>18</v>
      </c>
      <c r="C6" s="13" t="s">
        <v>41</v>
      </c>
      <c r="D6" s="15" t="s">
        <v>4</v>
      </c>
      <c r="E6" s="2"/>
      <c r="F6" s="2"/>
      <c r="G6" s="2"/>
      <c r="H6" s="2"/>
    </row>
    <row r="7" ht="28.5" customHeight="1">
      <c r="A7" s="12" t="s">
        <v>38</v>
      </c>
      <c r="B7" s="13" t="s">
        <v>18</v>
      </c>
      <c r="C7" s="13" t="s">
        <v>8</v>
      </c>
      <c r="D7" s="15" t="s">
        <v>4</v>
      </c>
      <c r="E7" s="2"/>
      <c r="F7" s="2"/>
      <c r="G7" s="2"/>
      <c r="H7" s="2"/>
    </row>
    <row r="8" ht="28.5" customHeight="1">
      <c r="A8" s="12" t="s">
        <v>42</v>
      </c>
      <c r="B8" s="13" t="s">
        <v>32</v>
      </c>
      <c r="C8" s="13" t="s">
        <v>8</v>
      </c>
      <c r="D8" s="15" t="s">
        <v>4</v>
      </c>
      <c r="E8" s="2"/>
      <c r="F8" s="2"/>
      <c r="G8" s="2"/>
      <c r="H8" s="2"/>
    </row>
    <row r="9" ht="28.5" customHeight="1">
      <c r="A9" s="12" t="s">
        <v>45</v>
      </c>
      <c r="B9" s="13" t="s">
        <v>51</v>
      </c>
      <c r="C9" s="13" t="s">
        <v>7</v>
      </c>
      <c r="D9" s="15" t="s">
        <v>4</v>
      </c>
      <c r="E9" s="2"/>
      <c r="F9" s="2"/>
      <c r="G9" s="2"/>
      <c r="H9" s="2"/>
    </row>
    <row r="10" ht="28.5" customHeight="1">
      <c r="A10" s="12" t="s">
        <v>47</v>
      </c>
      <c r="B10" s="13" t="s">
        <v>54</v>
      </c>
      <c r="C10" s="13" t="s">
        <v>7</v>
      </c>
      <c r="D10" s="15" t="s">
        <v>4</v>
      </c>
      <c r="E10" s="2"/>
      <c r="F10" s="2"/>
      <c r="G10" s="2"/>
      <c r="H10" s="2"/>
    </row>
    <row r="11" ht="28.5" customHeight="1">
      <c r="A11" s="12" t="s">
        <v>28</v>
      </c>
      <c r="B11" s="13" t="s">
        <v>54</v>
      </c>
      <c r="C11" s="13" t="s">
        <v>11</v>
      </c>
      <c r="D11" s="15" t="s">
        <v>4</v>
      </c>
      <c r="E11" s="2"/>
      <c r="F11" s="2"/>
      <c r="G11" s="2"/>
      <c r="H11" s="2"/>
    </row>
    <row r="12" ht="28.5" customHeight="1">
      <c r="A12" s="12" t="s">
        <v>49</v>
      </c>
      <c r="B12" s="13" t="s">
        <v>32</v>
      </c>
      <c r="C12" s="13" t="s">
        <v>7</v>
      </c>
      <c r="D12" s="15" t="s">
        <v>4</v>
      </c>
      <c r="E12" s="2"/>
      <c r="F12" s="2"/>
      <c r="G12" s="2"/>
      <c r="H12" s="2"/>
    </row>
    <row r="13" ht="28.5" customHeight="1">
      <c r="A13" s="12" t="s">
        <v>50</v>
      </c>
      <c r="B13" s="13" t="s">
        <v>57</v>
      </c>
      <c r="C13" s="13" t="s">
        <v>7</v>
      </c>
      <c r="D13" s="15" t="s">
        <v>4</v>
      </c>
      <c r="E13" s="2"/>
      <c r="F13" s="2"/>
      <c r="G13" s="2"/>
      <c r="H13" s="2"/>
    </row>
    <row r="14" ht="28.5" customHeight="1">
      <c r="A14" s="12" t="s">
        <v>34</v>
      </c>
      <c r="B14" s="13" t="s">
        <v>57</v>
      </c>
      <c r="C14" s="13" t="s">
        <v>9</v>
      </c>
      <c r="D14" s="15" t="s">
        <v>4</v>
      </c>
      <c r="E14" s="2"/>
      <c r="F14" s="2"/>
      <c r="G14" s="2"/>
      <c r="H14" s="2"/>
    </row>
    <row r="15" ht="28.5" customHeight="1">
      <c r="A15" s="12" t="s">
        <v>24</v>
      </c>
      <c r="B15" s="13" t="s">
        <v>57</v>
      </c>
      <c r="C15" s="13" t="s">
        <v>60</v>
      </c>
      <c r="D15" s="15" t="s">
        <v>4</v>
      </c>
      <c r="E15" s="2"/>
      <c r="F15" s="2"/>
      <c r="G15" s="2"/>
      <c r="H15" s="2"/>
    </row>
    <row r="16" ht="28.5" customHeight="1">
      <c r="A16" s="12" t="s">
        <v>52</v>
      </c>
      <c r="B16" s="13" t="s">
        <v>32</v>
      </c>
      <c r="C16" s="13" t="s">
        <v>7</v>
      </c>
      <c r="D16" s="15" t="s">
        <v>4</v>
      </c>
      <c r="E16" s="2"/>
      <c r="F16" s="2"/>
      <c r="G16" s="2"/>
      <c r="H16" s="2"/>
    </row>
    <row r="17" ht="28.5" customHeight="1">
      <c r="A17" s="12" t="s">
        <v>35</v>
      </c>
      <c r="B17" s="13" t="s">
        <v>54</v>
      </c>
      <c r="C17" s="13" t="s">
        <v>11</v>
      </c>
      <c r="D17" s="15" t="s">
        <v>4</v>
      </c>
      <c r="E17" s="2"/>
      <c r="F17" s="2"/>
      <c r="G17" s="2"/>
      <c r="H17" s="2"/>
    </row>
    <row r="18" ht="28.5" customHeight="1">
      <c r="A18" s="12" t="s">
        <v>39</v>
      </c>
      <c r="B18" s="13" t="s">
        <v>61</v>
      </c>
      <c r="C18" s="13" t="s">
        <v>9</v>
      </c>
      <c r="D18" s="15" t="s">
        <v>4</v>
      </c>
      <c r="E18" s="2"/>
      <c r="F18" s="2"/>
      <c r="G18" s="2"/>
      <c r="H18" s="2"/>
    </row>
    <row r="19" ht="28.5" customHeight="1">
      <c r="A19" s="12" t="s">
        <v>40</v>
      </c>
      <c r="B19" s="13" t="s">
        <v>18</v>
      </c>
      <c r="C19" s="13" t="s">
        <v>11</v>
      </c>
      <c r="D19" s="15" t="s">
        <v>4</v>
      </c>
      <c r="E19" s="2"/>
      <c r="F19" s="2"/>
      <c r="G19" s="2"/>
      <c r="H19" s="2"/>
    </row>
    <row r="20" ht="28.5" customHeight="1">
      <c r="A20" s="12" t="s">
        <v>31</v>
      </c>
      <c r="B20" s="13" t="s">
        <v>57</v>
      </c>
      <c r="C20" s="13" t="s">
        <v>62</v>
      </c>
      <c r="D20" s="15" t="s">
        <v>4</v>
      </c>
      <c r="E20" s="2"/>
      <c r="F20" s="2"/>
      <c r="G20" s="2"/>
      <c r="H20" s="2"/>
    </row>
    <row r="21" ht="28.5" customHeight="1">
      <c r="A21" s="12" t="s">
        <v>43</v>
      </c>
      <c r="B21" s="13" t="s">
        <v>54</v>
      </c>
      <c r="C21" s="13" t="s">
        <v>11</v>
      </c>
      <c r="D21" s="15" t="s">
        <v>4</v>
      </c>
      <c r="E21" s="2"/>
      <c r="F21" s="2"/>
      <c r="G21" s="2"/>
      <c r="H21" s="2"/>
    </row>
    <row r="22" ht="28.5" customHeight="1">
      <c r="A22" s="12" t="s">
        <v>29</v>
      </c>
      <c r="B22" s="13" t="s">
        <v>59</v>
      </c>
      <c r="C22" s="13" t="s">
        <v>63</v>
      </c>
      <c r="D22" s="15" t="s">
        <v>4</v>
      </c>
      <c r="E22" s="2"/>
      <c r="F22" s="2"/>
      <c r="G22" s="2"/>
      <c r="H22" s="2"/>
    </row>
    <row r="23" ht="28.5" customHeight="1">
      <c r="A23" s="12" t="s">
        <v>44</v>
      </c>
      <c r="B23" s="13" t="s">
        <v>32</v>
      </c>
      <c r="C23" s="13" t="s">
        <v>9</v>
      </c>
      <c r="D23" s="15" t="s">
        <v>4</v>
      </c>
      <c r="E23" s="2"/>
      <c r="F23" s="2"/>
      <c r="G23" s="2"/>
      <c r="H23" s="2"/>
    </row>
    <row r="24" ht="28.5" customHeight="1">
      <c r="A24" s="12" t="s">
        <v>46</v>
      </c>
      <c r="B24" s="13" t="s">
        <v>18</v>
      </c>
      <c r="C24" s="13" t="s">
        <v>8</v>
      </c>
      <c r="D24" s="15" t="s">
        <v>4</v>
      </c>
      <c r="E24" s="2"/>
      <c r="F24" s="2"/>
      <c r="G24" s="2"/>
      <c r="H24" s="2"/>
    </row>
    <row r="25" ht="28.5" customHeight="1">
      <c r="A25" s="12" t="s">
        <v>20</v>
      </c>
      <c r="B25" s="13" t="s">
        <v>32</v>
      </c>
      <c r="C25" s="13" t="s">
        <v>64</v>
      </c>
      <c r="D25" s="24" t="s">
        <v>2</v>
      </c>
      <c r="E25" s="2"/>
      <c r="F25" s="2"/>
      <c r="G25" s="2"/>
      <c r="H25" s="2"/>
    </row>
    <row r="26" ht="28.5" customHeight="1">
      <c r="A26" s="12" t="s">
        <v>48</v>
      </c>
      <c r="B26" s="13" t="s">
        <v>18</v>
      </c>
      <c r="C26" s="13" t="s">
        <v>64</v>
      </c>
      <c r="D26" s="15" t="s">
        <v>4</v>
      </c>
      <c r="E26" s="2"/>
      <c r="F26" s="2"/>
      <c r="G26" s="2"/>
      <c r="H26" s="2"/>
    </row>
    <row r="27" ht="28.5" customHeight="1">
      <c r="A27" s="25" t="s">
        <v>25</v>
      </c>
      <c r="B27" s="26" t="s">
        <v>51</v>
      </c>
      <c r="C27" s="26" t="s">
        <v>7</v>
      </c>
      <c r="D27" s="24" t="s">
        <v>2</v>
      </c>
      <c r="E27" s="2"/>
      <c r="F27" s="2"/>
      <c r="G27" s="2"/>
      <c r="H27" s="2"/>
    </row>
    <row r="28" ht="28.5" customHeight="1">
      <c r="A28" s="25" t="s">
        <v>53</v>
      </c>
      <c r="B28" s="26" t="s">
        <v>32</v>
      </c>
      <c r="C28" s="26" t="s">
        <v>7</v>
      </c>
      <c r="D28" s="24" t="s">
        <v>4</v>
      </c>
      <c r="E28" s="2"/>
      <c r="F28" s="2"/>
      <c r="G28" s="2"/>
      <c r="H28" s="2"/>
    </row>
    <row r="29" ht="28.5" customHeight="1">
      <c r="A29" s="25" t="s">
        <v>19</v>
      </c>
      <c r="B29" s="26" t="s">
        <v>18</v>
      </c>
      <c r="C29" s="26" t="s">
        <v>6</v>
      </c>
      <c r="D29" s="27" t="s">
        <v>2</v>
      </c>
      <c r="E29" s="2"/>
      <c r="F29" s="2"/>
      <c r="G29" s="2"/>
      <c r="H29" s="2"/>
    </row>
    <row r="30" ht="28.5" customHeight="1">
      <c r="A30" s="25" t="s">
        <v>26</v>
      </c>
      <c r="B30" s="26" t="s">
        <v>18</v>
      </c>
      <c r="C30" s="26" t="s">
        <v>64</v>
      </c>
      <c r="D30" s="27" t="s">
        <v>2</v>
      </c>
      <c r="E30" s="2"/>
      <c r="F30" s="2"/>
      <c r="G30" s="2"/>
      <c r="H30" s="2"/>
    </row>
    <row r="31" ht="28.5" customHeight="1">
      <c r="A31" s="25" t="s">
        <v>22</v>
      </c>
      <c r="B31" s="26" t="s">
        <v>54</v>
      </c>
      <c r="C31" s="26" t="s">
        <v>11</v>
      </c>
      <c r="D31" s="27" t="s">
        <v>2</v>
      </c>
      <c r="E31" s="2"/>
      <c r="F31" s="2"/>
      <c r="G31" s="2"/>
      <c r="H31" s="2"/>
    </row>
    <row r="32" ht="28.5" customHeight="1">
      <c r="A32" s="25" t="s">
        <v>21</v>
      </c>
      <c r="B32" s="26" t="s">
        <v>59</v>
      </c>
      <c r="C32" s="26" t="s">
        <v>9</v>
      </c>
      <c r="D32" s="27" t="s">
        <v>2</v>
      </c>
      <c r="E32" s="2"/>
      <c r="F32" s="2"/>
      <c r="G32" s="2"/>
      <c r="H32" s="2"/>
    </row>
    <row r="33" ht="28.5" customHeight="1">
      <c r="A33" s="25" t="s">
        <v>37</v>
      </c>
      <c r="B33" s="26" t="s">
        <v>59</v>
      </c>
      <c r="C33" s="26" t="s">
        <v>7</v>
      </c>
      <c r="D33" s="27" t="s">
        <v>2</v>
      </c>
      <c r="E33" s="2"/>
      <c r="F33" s="2"/>
      <c r="G33" s="2"/>
      <c r="H33" s="2"/>
    </row>
    <row r="34" ht="28.5" customHeight="1">
      <c r="A34" s="25" t="s">
        <v>27</v>
      </c>
      <c r="B34" s="26" t="s">
        <v>57</v>
      </c>
      <c r="C34" s="26" t="s">
        <v>9</v>
      </c>
      <c r="D34" s="27" t="s">
        <v>2</v>
      </c>
      <c r="E34" s="2"/>
      <c r="F34" s="2"/>
      <c r="G34" s="2"/>
      <c r="H34" s="2"/>
    </row>
    <row r="35" ht="28.5" customHeight="1">
      <c r="A35" s="28" t="s">
        <v>65</v>
      </c>
      <c r="B35" s="29" t="s">
        <v>32</v>
      </c>
      <c r="C35" s="29" t="s">
        <v>7</v>
      </c>
      <c r="D35" s="30"/>
      <c r="E35" s="2"/>
      <c r="F35" s="2"/>
      <c r="G35" s="2"/>
      <c r="H35" s="2"/>
    </row>
    <row r="36" ht="28.5" customHeight="1">
      <c r="A36" s="28" t="s">
        <v>36</v>
      </c>
      <c r="B36" s="29" t="s">
        <v>32</v>
      </c>
      <c r="C36" s="29" t="s">
        <v>7</v>
      </c>
      <c r="D36" s="30"/>
      <c r="E36" s="2"/>
      <c r="F36" s="2"/>
      <c r="G36" s="2"/>
      <c r="H36" s="2"/>
    </row>
  </sheetData>
  <mergeCells count="1">
    <mergeCell ref="A1:D2"/>
  </mergeCells>
  <conditionalFormatting sqref="A4:A36">
    <cfRule type="expression" dxfId="5" priority="1" stopIfTrue="1">
      <formula>AND($A4&lt;&gt;"",$D4="Team Lead")</formula>
    </cfRule>
  </conditionalFormatting>
  <conditionalFormatting sqref="A4:A36">
    <cfRule type="expression" dxfId="6" priority="2" stopIfTrue="1">
      <formula>AND($A4&lt;&gt;"",$D4="Member",OR(REGEXMATCH($B4,",\s*"),REGEXMATCH($C4,",\s*")))</formula>
    </cfRule>
  </conditionalFormatting>
  <conditionalFormatting sqref="A4:A36">
    <cfRule type="expression" dxfId="7" priority="3" stopIfTrue="1">
      <formula>AND($A4&lt;&gt;"",$D4="Member",NOT(OR(REGEXMATCH($B4,",\s*"),REGEXMATCH($C4,",\s*"))))</formula>
    </cfRule>
  </conditionalFormatting>
  <dataValidations>
    <dataValidation type="list" allowBlank="1" sqref="D4:D36">
      <formula1>"Member,Team Lead"</formula1>
    </dataValidation>
    <dataValidation allowBlank="1" showDropDown="1" sqref="A4:A36"/>
    <dataValidation type="list" allowBlank="1" sqref="B4:B36">
      <formula1>"P1: Data Corpus,P2: Phonic Tokenizer,P3: Memory Model,P4: Validating Learning Sci.,P5: Pedagogy Benchmark,P7: RL Tutor"</formula1>
    </dataValidation>
    <dataValidation type="list" allowBlank="1" sqref="C4:C36">
      <formula1>"Dataset,Model Architecture,Post-Training,Evaluation,Inference / Product,Pre-Training"</formula1>
    </dataValidation>
  </dataValidations>
  <drawing r:id="rId1"/>
  <tableParts count="1">
    <tablePart r:id="rId3"/>
  </tableParts>
</worksheet>
</file>